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1ED44FB6-55FA-48F0-AB60-B738B53B9252}" xr6:coauthVersionLast="47" xr6:coauthVersionMax="47" xr10:uidLastSave="{00000000-0000-0000-0000-000000000000}"/>
  <bookViews>
    <workbookView xWindow="-110" yWindow="-110" windowWidth="19420" windowHeight="10300" xr2:uid="{C3D62F55-AA8A-4288-BDEE-0ECDE5B46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C44" i="1"/>
  <c r="C43" i="1"/>
  <c r="C42" i="1"/>
  <c r="C41" i="1"/>
  <c r="C37" i="1"/>
  <c r="C36" i="1"/>
  <c r="C35" i="1"/>
  <c r="C34" i="1"/>
  <c r="C33" i="1"/>
  <c r="B26" i="1"/>
  <c r="B27" i="1" s="1"/>
  <c r="B21" i="1"/>
  <c r="C13" i="1"/>
  <c r="C14" i="1"/>
  <c r="C15" i="1"/>
  <c r="C12" i="1"/>
  <c r="D4" i="1"/>
  <c r="D5" i="1"/>
  <c r="D6" i="1"/>
  <c r="D7" i="1"/>
  <c r="D3" i="1"/>
  <c r="C4" i="1"/>
  <c r="C5" i="1"/>
  <c r="C6" i="1"/>
  <c r="C7" i="1"/>
  <c r="C3" i="1"/>
  <c r="C20" i="1" l="1"/>
  <c r="C19" i="1"/>
  <c r="C21" i="1" s="1"/>
</calcChain>
</file>

<file path=xl/sharedStrings.xml><?xml version="1.0" encoding="utf-8"?>
<sst xmlns="http://schemas.openxmlformats.org/spreadsheetml/2006/main" count="29" uniqueCount="27">
  <si>
    <t>1. Menghitung persentase dari sebuah angka</t>
  </si>
  <si>
    <t>A</t>
  </si>
  <si>
    <t>B</t>
  </si>
  <si>
    <t>30% dari A</t>
  </si>
  <si>
    <t>120% dari B</t>
  </si>
  <si>
    <t>2. Menghitung % pertumbuhan penduduk, ekonomi, pendapatan, dsb</t>
  </si>
  <si>
    <t>Tahun</t>
  </si>
  <si>
    <t>Pertumbuhan
 Penduduk</t>
  </si>
  <si>
    <t>Jumlah
 Penduduk</t>
  </si>
  <si>
    <t xml:space="preserve">3. Menghitung % sebuah data terhadap total data </t>
  </si>
  <si>
    <t xml:space="preserve">Jenis 
Kelamin </t>
  </si>
  <si>
    <t>%</t>
  </si>
  <si>
    <t>4. Menghitung % laba terhadap pendapatan</t>
  </si>
  <si>
    <t xml:space="preserve">Pendapatan </t>
  </si>
  <si>
    <t xml:space="preserve">Pengeluaran </t>
  </si>
  <si>
    <t>Keuntungan</t>
  </si>
  <si>
    <t>% Keuntungan</t>
  </si>
  <si>
    <t>5. Menghitung harga baru setelah kenaikan harga</t>
  </si>
  <si>
    <t>Harga</t>
  </si>
  <si>
    <t>Harga Baru</t>
  </si>
  <si>
    <t>Kenaikan 
Harga</t>
  </si>
  <si>
    <t xml:space="preserve">Pria </t>
  </si>
  <si>
    <t>Wanita</t>
  </si>
  <si>
    <t>Total</t>
  </si>
  <si>
    <t>6. Menghitung harga baru setelah diskon</t>
  </si>
  <si>
    <t>Diskon</t>
  </si>
  <si>
    <t>Harga Setelah 
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</si>
</sst>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 val="singleAccounting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4" fontId="2" fillId="0" borderId="1" xfId="1" applyNumberFormat="1" applyFont="1" applyBorder="1"/>
    <xf numFmtId="164" fontId="2" fillId="0" borderId="0" xfId="1" applyNumberFormat="1" applyFont="1"/>
    <xf numFmtId="164" fontId="4" fillId="0" borderId="0" xfId="1" applyNumberFormat="1" applyFont="1"/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B019-EF8E-407C-B84D-E8D261D9C697}">
  <dimension ref="A1:D45"/>
  <sheetViews>
    <sheetView tabSelected="1" workbookViewId="0">
      <selection activeCell="G8" sqref="G8"/>
    </sheetView>
  </sheetViews>
  <sheetFormatPr defaultRowHeight="15.5" x14ac:dyDescent="0.35"/>
  <cols>
    <col min="1" max="1" width="15.26953125" style="1" bestFit="1" customWidth="1"/>
    <col min="2" max="2" width="16.453125" style="1" bestFit="1" customWidth="1"/>
    <col min="3" max="3" width="22.1796875" style="1" bestFit="1" customWidth="1"/>
    <col min="4" max="4" width="12.90625" style="1" bestFit="1" customWidth="1"/>
    <col min="5" max="5" width="8.7265625" style="1"/>
    <col min="6" max="6" width="15.26953125" style="1" bestFit="1" customWidth="1"/>
    <col min="7" max="7" width="14.90625" style="1" bestFit="1" customWidth="1"/>
    <col min="8" max="8" width="19.90625" style="1" bestFit="1" customWidth="1"/>
    <col min="9" max="16384" width="8.7265625" style="1"/>
  </cols>
  <sheetData>
    <row r="1" spans="1:4" x14ac:dyDescent="0.35">
      <c r="A1" s="3" t="s">
        <v>0</v>
      </c>
    </row>
    <row r="2" spans="1:4" x14ac:dyDescent="0.35">
      <c r="A2" s="13" t="s">
        <v>1</v>
      </c>
      <c r="B2" s="13" t="s">
        <v>2</v>
      </c>
      <c r="C2" s="13" t="s">
        <v>3</v>
      </c>
      <c r="D2" s="13" t="s">
        <v>4</v>
      </c>
    </row>
    <row r="3" spans="1:4" x14ac:dyDescent="0.35">
      <c r="A3" s="2">
        <v>120</v>
      </c>
      <c r="B3" s="2">
        <v>50</v>
      </c>
      <c r="C3" s="2">
        <f>30%*A3</f>
        <v>36</v>
      </c>
      <c r="D3" s="2">
        <f>120%*B3</f>
        <v>60</v>
      </c>
    </row>
    <row r="4" spans="1:4" x14ac:dyDescent="0.35">
      <c r="A4" s="2">
        <v>90</v>
      </c>
      <c r="B4" s="2">
        <v>30</v>
      </c>
      <c r="C4" s="2">
        <f t="shared" ref="C4:C7" si="0">30%*A4</f>
        <v>27</v>
      </c>
      <c r="D4" s="2">
        <f t="shared" ref="D4:D7" si="1">120%*B4</f>
        <v>36</v>
      </c>
    </row>
    <row r="5" spans="1:4" x14ac:dyDescent="0.35">
      <c r="A5" s="2">
        <v>100</v>
      </c>
      <c r="B5" s="2">
        <v>25</v>
      </c>
      <c r="C5" s="2">
        <f t="shared" si="0"/>
        <v>30</v>
      </c>
      <c r="D5" s="2">
        <f t="shared" si="1"/>
        <v>30</v>
      </c>
    </row>
    <row r="6" spans="1:4" x14ac:dyDescent="0.35">
      <c r="A6" s="2">
        <v>12</v>
      </c>
      <c r="B6" s="2">
        <v>24</v>
      </c>
      <c r="C6" s="2">
        <f t="shared" si="0"/>
        <v>3.5999999999999996</v>
      </c>
      <c r="D6" s="2">
        <f t="shared" si="1"/>
        <v>28.799999999999997</v>
      </c>
    </row>
    <row r="7" spans="1:4" x14ac:dyDescent="0.35">
      <c r="A7" s="2">
        <v>18</v>
      </c>
      <c r="B7" s="2">
        <v>3</v>
      </c>
      <c r="C7" s="2">
        <f t="shared" si="0"/>
        <v>5.3999999999999995</v>
      </c>
      <c r="D7" s="2">
        <f t="shared" si="1"/>
        <v>3.5999999999999996</v>
      </c>
    </row>
    <row r="9" spans="1:4" x14ac:dyDescent="0.35">
      <c r="A9" s="3" t="s">
        <v>5</v>
      </c>
    </row>
    <row r="10" spans="1:4" ht="30" x14ac:dyDescent="0.35">
      <c r="A10" s="14" t="s">
        <v>6</v>
      </c>
      <c r="B10" s="15" t="s">
        <v>8</v>
      </c>
      <c r="C10" s="15" t="s">
        <v>7</v>
      </c>
    </row>
    <row r="11" spans="1:4" x14ac:dyDescent="0.35">
      <c r="A11" s="9">
        <v>2015</v>
      </c>
      <c r="B11" s="4">
        <v>4500</v>
      </c>
      <c r="C11" s="2"/>
    </row>
    <row r="12" spans="1:4" x14ac:dyDescent="0.35">
      <c r="A12" s="9">
        <v>2016</v>
      </c>
      <c r="B12" s="4">
        <v>4800</v>
      </c>
      <c r="C12" s="7">
        <f>(B12-B11)/B11</f>
        <v>6.6666666666666666E-2</v>
      </c>
    </row>
    <row r="13" spans="1:4" x14ac:dyDescent="0.35">
      <c r="A13" s="9">
        <v>2017</v>
      </c>
      <c r="B13" s="4">
        <v>5400</v>
      </c>
      <c r="C13" s="7">
        <f t="shared" ref="C13:C15" si="2">(B13-B12)/B12</f>
        <v>0.125</v>
      </c>
    </row>
    <row r="14" spans="1:4" x14ac:dyDescent="0.35">
      <c r="A14" s="9">
        <v>2018</v>
      </c>
      <c r="B14" s="4">
        <v>5950</v>
      </c>
      <c r="C14" s="7">
        <f t="shared" si="2"/>
        <v>0.10185185185185185</v>
      </c>
    </row>
    <row r="15" spans="1:4" x14ac:dyDescent="0.35">
      <c r="A15" s="9">
        <v>2019</v>
      </c>
      <c r="B15" s="4">
        <v>6750</v>
      </c>
      <c r="C15" s="7">
        <f t="shared" si="2"/>
        <v>0.13445378151260504</v>
      </c>
    </row>
    <row r="17" spans="1:3" x14ac:dyDescent="0.35">
      <c r="A17" s="3" t="s">
        <v>9</v>
      </c>
    </row>
    <row r="18" spans="1:3" ht="30" x14ac:dyDescent="0.35">
      <c r="A18" s="15" t="s">
        <v>10</v>
      </c>
      <c r="B18" s="15" t="s">
        <v>8</v>
      </c>
      <c r="C18" s="14" t="s">
        <v>11</v>
      </c>
    </row>
    <row r="19" spans="1:3" x14ac:dyDescent="0.35">
      <c r="A19" s="2" t="s">
        <v>21</v>
      </c>
      <c r="B19" s="4">
        <v>3500</v>
      </c>
      <c r="C19" s="8">
        <f>B19/$B$21</f>
        <v>0.51851851851851849</v>
      </c>
    </row>
    <row r="20" spans="1:3" x14ac:dyDescent="0.35">
      <c r="A20" s="2" t="s">
        <v>22</v>
      </c>
      <c r="B20" s="4">
        <v>3250</v>
      </c>
      <c r="C20" s="8">
        <f>B20/$B$21</f>
        <v>0.48148148148148145</v>
      </c>
    </row>
    <row r="21" spans="1:3" x14ac:dyDescent="0.35">
      <c r="A21" s="2" t="s">
        <v>23</v>
      </c>
      <c r="B21" s="10">
        <f>SUM(B19:B20)</f>
        <v>6750</v>
      </c>
      <c r="C21" s="8">
        <f>SUM(C19:C20)</f>
        <v>1</v>
      </c>
    </row>
    <row r="23" spans="1:3" x14ac:dyDescent="0.35">
      <c r="A23" s="3" t="s">
        <v>12</v>
      </c>
    </row>
    <row r="24" spans="1:3" x14ac:dyDescent="0.35">
      <c r="A24" s="16" t="s">
        <v>13</v>
      </c>
      <c r="B24" s="5">
        <v>15000000</v>
      </c>
    </row>
    <row r="25" spans="1:3" ht="17" x14ac:dyDescent="0.5">
      <c r="A25" s="16" t="s">
        <v>14</v>
      </c>
      <c r="B25" s="6">
        <v>12000000</v>
      </c>
    </row>
    <row r="26" spans="1:3" x14ac:dyDescent="0.35">
      <c r="A26" s="16" t="s">
        <v>15</v>
      </c>
      <c r="B26" s="11">
        <f>B24-B25</f>
        <v>3000000</v>
      </c>
    </row>
    <row r="27" spans="1:3" x14ac:dyDescent="0.35">
      <c r="A27" s="16" t="s">
        <v>16</v>
      </c>
      <c r="B27" s="12">
        <f>B26/B24</f>
        <v>0.2</v>
      </c>
    </row>
    <row r="31" spans="1:3" x14ac:dyDescent="0.35">
      <c r="A31" s="3" t="s">
        <v>17</v>
      </c>
    </row>
    <row r="32" spans="1:3" ht="30" x14ac:dyDescent="0.35">
      <c r="A32" s="14" t="s">
        <v>18</v>
      </c>
      <c r="B32" s="15" t="s">
        <v>20</v>
      </c>
      <c r="C32" s="14" t="s">
        <v>19</v>
      </c>
    </row>
    <row r="33" spans="1:3" x14ac:dyDescent="0.35">
      <c r="A33" s="2">
        <v>125000</v>
      </c>
      <c r="B33" s="8">
        <v>0.1</v>
      </c>
      <c r="C33" s="4">
        <f>A33*(1+B33)</f>
        <v>137500</v>
      </c>
    </row>
    <row r="34" spans="1:3" x14ac:dyDescent="0.35">
      <c r="A34" s="2">
        <v>35000</v>
      </c>
      <c r="B34" s="8">
        <v>0.12</v>
      </c>
      <c r="C34" s="4">
        <f t="shared" ref="C34:C37" si="3">A34*(1+B34)</f>
        <v>39200.000000000007</v>
      </c>
    </row>
    <row r="35" spans="1:3" x14ac:dyDescent="0.35">
      <c r="A35" s="2">
        <v>400000</v>
      </c>
      <c r="B35" s="8">
        <v>0.05</v>
      </c>
      <c r="C35" s="4">
        <f>A35*(1+B35)</f>
        <v>420000</v>
      </c>
    </row>
    <row r="36" spans="1:3" x14ac:dyDescent="0.35">
      <c r="A36" s="2">
        <v>89000</v>
      </c>
      <c r="B36" s="8">
        <v>0.13</v>
      </c>
      <c r="C36" s="4">
        <f t="shared" ref="C36:C39" si="4">A36*(1+B36)</f>
        <v>100569.99999999999</v>
      </c>
    </row>
    <row r="37" spans="1:3" x14ac:dyDescent="0.35">
      <c r="A37" s="2">
        <v>110000</v>
      </c>
      <c r="B37" s="8">
        <v>0.25</v>
      </c>
      <c r="C37" s="4">
        <f t="shared" si="4"/>
        <v>137500</v>
      </c>
    </row>
    <row r="39" spans="1:3" x14ac:dyDescent="0.35">
      <c r="A39" s="3" t="s">
        <v>24</v>
      </c>
    </row>
    <row r="40" spans="1:3" ht="30" x14ac:dyDescent="0.35">
      <c r="A40" s="14" t="s">
        <v>18</v>
      </c>
      <c r="B40" s="14" t="s">
        <v>25</v>
      </c>
      <c r="C40" s="15" t="s">
        <v>26</v>
      </c>
    </row>
    <row r="41" spans="1:3" x14ac:dyDescent="0.35">
      <c r="A41" s="4">
        <v>24500</v>
      </c>
      <c r="B41" s="8">
        <v>0.03</v>
      </c>
      <c r="C41" s="10">
        <f>A41*(1-B41)</f>
        <v>23765</v>
      </c>
    </row>
    <row r="42" spans="1:3" x14ac:dyDescent="0.35">
      <c r="A42" s="4">
        <v>30000</v>
      </c>
      <c r="B42" s="8">
        <v>0.05</v>
      </c>
      <c r="C42" s="10">
        <f t="shared" ref="C42:C45" si="5">A42*(1-B42)</f>
        <v>28500</v>
      </c>
    </row>
    <row r="43" spans="1:3" x14ac:dyDescent="0.35">
      <c r="A43" s="4">
        <v>250000</v>
      </c>
      <c r="B43" s="8">
        <v>0.15</v>
      </c>
      <c r="C43" s="10">
        <f t="shared" si="5"/>
        <v>212500</v>
      </c>
    </row>
    <row r="44" spans="1:3" x14ac:dyDescent="0.35">
      <c r="A44" s="4">
        <v>125000</v>
      </c>
      <c r="B44" s="8">
        <v>0.1</v>
      </c>
      <c r="C44" s="10">
        <f t="shared" si="5"/>
        <v>112500</v>
      </c>
    </row>
    <row r="45" spans="1:3" x14ac:dyDescent="0.35">
      <c r="A45" s="4">
        <v>85000</v>
      </c>
      <c r="B45" s="8">
        <v>0.5</v>
      </c>
      <c r="C45" s="10">
        <f t="shared" si="5"/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2025-10-10T14:26:52Z</dcterms:created>
  <dcterms:modified xsi:type="dcterms:W3CDTF">2026-04-28T11:56:13Z</dcterms:modified>
</cp:coreProperties>
</file>